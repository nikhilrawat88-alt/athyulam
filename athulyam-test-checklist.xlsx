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hecklist" sheetId="1" state="visible" r:id="rId3"/>
  </sheets>
  <definedNames>
    <definedName function="false" hidden="true" localSheetId="0" name="_xlnm._FilterDatabase" vbProcedure="false">'Test checklist'!$A$3:$I$58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<sst xmlns="http://schemas.openxmlformats.org/spreadsheetml/2006/main" count="292" uniqueCount="220">
  <si>
    <t xml:space="preserve">Athulyam Homes Guest Manager v1.3 — test checklist (19 Oct 2026)</t>
  </si>
  <si>
    <t xml:space="preserve">Fill in only the yellow columns: "Your result" (pick from the list) and "Your notes". Row 4 is filled as an example.</t>
  </si>
  <si>
    <t xml:space="preserve">#</t>
  </si>
  <si>
    <t xml:space="preserve">Area</t>
  </si>
  <si>
    <t xml:space="preserve">Scenario</t>
  </si>
  <si>
    <t xml:space="preserve">Steps</t>
  </si>
  <si>
    <t xml:space="preserve">Expected result</t>
  </si>
  <si>
    <t xml:space="preserve">Tested by Claude</t>
  </si>
  <si>
    <t xml:space="preserve">Your result</t>
  </si>
  <si>
    <t xml:space="preserve">Your notes</t>
  </si>
  <si>
    <t xml:space="preserve">Recommendation</t>
  </si>
  <si>
    <t xml:space="preserve">Brief</t>
  </si>
  <si>
    <t xml:space="preserve">1. Direct booking ₹3,200 room + ₹800 food</t>
  </si>
  <si>
    <t xml:space="preserve">Add New Booking; GST box unticked; room 3200, food 800</t>
  </si>
  <si>
    <t xml:space="preserve">Total bill ₹4,000</t>
  </si>
  <si>
    <t xml:space="preserve">Passed (browser + calculation)</t>
  </si>
  <si>
    <t xml:space="preserve">Pass</t>
  </si>
  <si>
    <t xml:space="preserve">Example: matched</t>
  </si>
  <si>
    <t xml:space="preserve">2. Advance ₹2,000</t>
  </si>
  <si>
    <t xml:space="preserve">Enter 2000 in "Advance received now" when saving</t>
  </si>
  <si>
    <t xml:space="preserve">Balance ₹2,000</t>
  </si>
  <si>
    <t xml:space="preserve">3. Further payment ₹1,000</t>
  </si>
  <si>
    <t xml:space="preserve">Guest page → Record payment → 1000, Cash</t>
  </si>
  <si>
    <t xml:space="preserve">Balance ₹1,000</t>
  </si>
  <si>
    <t xml:space="preserve">4. Booking.com with commission</t>
  </si>
  <si>
    <t xml:space="preserve">Source Booking.com, room 5000, food 1000, commission 900, GST on</t>
  </si>
  <si>
    <t xml:space="preserve">Bill ₹6,300; net after commission ₹5,100 (GST excluded); commission not on the bill</t>
  </si>
  <si>
    <t xml:space="preserve">5. Future booking appears</t>
  </si>
  <si>
    <t xml:space="preserve">Add a booking 20 days ahead</t>
  </si>
  <si>
    <t xml:space="preserve">Listed in Future bookings and Home → Upcoming</t>
  </si>
  <si>
    <t xml:space="preserve">6. Overlap warning, same room</t>
  </si>
  <si>
    <t xml:space="preserve">Book Room 1 on dates overlapping an existing stay</t>
  </si>
  <si>
    <t xml:space="preserve">Red warning names the other guest; save blocked until override ticked</t>
  </si>
  <si>
    <t xml:space="preserve">Passed (browser) — a crash here was found and fixed</t>
  </si>
  <si>
    <t xml:space="preserve">6b. Check-in on previous checkout day</t>
  </si>
  <si>
    <t xml:space="preserve">New booking starting the day another ends</t>
  </si>
  <si>
    <t xml:space="preserve">No warning</t>
  </si>
  <si>
    <t xml:space="preserve">7. Different rooms, same dates</t>
  </si>
  <si>
    <t xml:space="preserve">Book Room 3 on dates Room 1 is taken</t>
  </si>
  <si>
    <t xml:space="preserve">Saves with no warning</t>
  </si>
  <si>
    <t xml:space="preserve">8. Daily and monthly reports</t>
  </si>
  <si>
    <t xml:space="preserve">Reports → Daily summary; Monthly summary; change date/month; Export CSV; Print / Save PDF</t>
  </si>
  <si>
    <t xml:space="preserve">Revenue split by night; collections by method; exports open</t>
  </si>
  <si>
    <t xml:space="preserve">Passed in browser; CSV/PDF save on phone not tested</t>
  </si>
  <si>
    <t xml:space="preserve">9. Revenue and collections by platform</t>
  </si>
  <si>
    <t xml:space="preserve">Reports → Platform revenue</t>
  </si>
  <si>
    <t xml:space="preserve">Per platform: bookings, room, food, commission, net, collected, outstanding</t>
  </si>
  <si>
    <t xml:space="preserve">10. Data survives closing</t>
  </si>
  <si>
    <t xml:space="preserve">Close app fully from app switcher; reopen from icon</t>
  </si>
  <si>
    <t xml:space="preserve">All bookings still there</t>
  </si>
  <si>
    <t xml:space="preserve">Passed in browser reload; confirm on phone</t>
  </si>
  <si>
    <t xml:space="preserve">11. Offline</t>
  </si>
  <si>
    <t xml:space="preserve">Airplane mode, close and reopen app, add a booking</t>
  </si>
  <si>
    <t xml:space="preserve">App opens, "Offline" badge, booking saves</t>
  </si>
  <si>
    <t xml:space="preserve">Passed in browser; confirm on phone</t>
  </si>
  <si>
    <t xml:space="preserve">12. Backup and restore without duplicates</t>
  </si>
  <si>
    <t xml:space="preserve">Export backup; Restore → Merge same file; then Replace</t>
  </si>
  <si>
    <t xml:space="preserve">Merge: 0 added; counts unchanged; Replace keeps same records</t>
  </si>
  <si>
    <t xml:space="preserve">Passed in browser; file sharing on phone not tested</t>
  </si>
  <si>
    <t xml:space="preserve">13. Reminders under real conditions</t>
  </si>
  <si>
    <t xml:space="preserve">Set up Sheet; run testEmail; wait for 8 PM email</t>
  </si>
  <si>
    <t xml:space="preserve">Emails arrive within the chosen hour, with figures</t>
  </si>
  <si>
    <t xml:space="preserve">Built emails tested in simulation only — must test live</t>
  </si>
  <si>
    <t xml:space="preserve">Install</t>
  </si>
  <si>
    <t xml:space="preserve">iPhone install</t>
  </si>
  <si>
    <t xml:space="preserve">Safari → Share → Add to Home Screen</t>
  </si>
  <si>
    <t xml:space="preserve">Athulyam icon; opens full screen, green header</t>
  </si>
  <si>
    <t xml:space="preserve">Not possible here</t>
  </si>
  <si>
    <t xml:space="preserve">Android install</t>
  </si>
  <si>
    <t xml:space="preserve">Chrome → ⋮ → Install app</t>
  </si>
  <si>
    <t xml:space="preserve">Icon; opens full screen</t>
  </si>
  <si>
    <t xml:space="preserve">GitHub Pages live</t>
  </si>
  <si>
    <t xml:space="preserve">Open https://YOUR-USERNAME.github.io/athulyam/</t>
  </si>
  <si>
    <t xml:space="preserve">Home screen loads</t>
  </si>
  <si>
    <t xml:space="preserve">Sheet</t>
  </si>
  <si>
    <t xml:space="preserve">Setup and sync</t>
  </si>
  <si>
    <t xml:space="preserve">Run setup; deploy web app; paste URL + key; Sync now</t>
  </si>
  <si>
    <t xml:space="preserve">"Synced to Google Sheet"; tabs filled; Setup B6 shows time</t>
  </si>
  <si>
    <t xml:space="preserve">Passed in simulation; must test live</t>
  </si>
  <si>
    <t xml:space="preserve">Drive backup file</t>
  </si>
  <si>
    <t xml:space="preserve">After a sync, open Drive → Athulyam Homes Backups</t>
  </si>
  <si>
    <t xml:space="preserve">athulyam-backup-&lt;today&gt;.json present</t>
  </si>
  <si>
    <t xml:space="preserve">Passed in simulation</t>
  </si>
  <si>
    <t xml:space="preserve">Wrong key rejected</t>
  </si>
  <si>
    <t xml:space="preserve">Change one character of the key in app, Sync now</t>
  </si>
  <si>
    <t xml:space="preserve">"Wrong sync key" error</t>
  </si>
  <si>
    <t xml:space="preserve">GST</t>
  </si>
  <si>
    <t xml:space="preserve">GST bill</t>
  </si>
  <si>
    <t xml:space="preserve">Booking with GST on; open Guest bill</t>
  </si>
  <si>
    <t xml:space="preserve">CGST + SGST lines, GSTIN shown, total incl. GST</t>
  </si>
  <si>
    <t xml:space="preserve">Passed (browser)</t>
  </si>
  <si>
    <t xml:space="preserve">Auto room GST above ₹7,500/night</t>
  </si>
  <si>
    <t xml:space="preserve">Room 8000 for 1 night</t>
  </si>
  <si>
    <t xml:space="preserve">Room GST % switches to 18</t>
  </si>
  <si>
    <t xml:space="preserve">Passed (calculation)</t>
  </si>
  <si>
    <t xml:space="preserve">Monthly GST summary</t>
  </si>
  <si>
    <t xml:space="preserve">Reports → GST summary for a month with checkouts</t>
  </si>
  <si>
    <t xml:space="preserve">Taxable and GST by rate, CGST/SGST halves</t>
  </si>
  <si>
    <t xml:space="preserve">Renders in browser; numbers to check with CA</t>
  </si>
  <si>
    <t xml:space="preserve">Feature</t>
  </si>
  <si>
    <t xml:space="preserve">Check in / check out</t>
  </si>
  <si>
    <t xml:space="preserve">Guest page → Check in → Check out</t>
  </si>
  <si>
    <t xml:space="preserve">Status changes; room marked Needs cleaning</t>
  </si>
  <si>
    <t xml:space="preserve">Cancellation and refund</t>
  </si>
  <si>
    <t xml:space="preserve">Status Cancelled, fee 1000 on ₹3,000 paid; Record refund 2000</t>
  </si>
  <si>
    <t xml:space="preserve">Refund due ₹2,000 then ₹0; fee counted on cancel date</t>
  </si>
  <si>
    <t xml:space="preserve">Form C reminder</t>
  </si>
  <si>
    <t xml:space="preserve">Foreign guest checked in, Form C not ticked</t>
  </si>
  <si>
    <t xml:space="preserve">Red banner on Home; 8 AM email flags it</t>
  </si>
  <si>
    <t xml:space="preserve">Passed (calculation + simulated email)</t>
  </si>
  <si>
    <t xml:space="preserve">WhatsApp messages</t>
  </si>
  <si>
    <t xml:space="preserve">Guest page → WhatsApp: Confirmation</t>
  </si>
  <si>
    <t xml:space="preserve">WhatsApp opens with text and +91 number</t>
  </si>
  <si>
    <t xml:space="preserve">Calendar alarms</t>
  </si>
  <si>
    <t xml:space="preserve">More → Reminders → Add daily reminders to calendar</t>
  </si>
  <si>
    <t xml:space="preserve">Calendar app offers to add 4 repeating events</t>
  </si>
  <si>
    <t xml:space="preserve">Expenses and profit</t>
  </si>
  <si>
    <t xml:space="preserve">Add expense ₹750; open Monthly summary</t>
  </si>
  <si>
    <t xml:space="preserve">Profit = net − expenses</t>
  </si>
  <si>
    <t xml:space="preserve">OTA payout matching</t>
  </si>
  <si>
    <t xml:space="preserve">Payment method Online Platform 5000, commission 750, payout 4250</t>
  </si>
  <si>
    <t xml:space="preserve">Reports → OTA payouts shows Matched</t>
  </si>
  <si>
    <t xml:space="preserve">Rate card</t>
  </si>
  <si>
    <t xml:space="preserve">Settings → season with rate; booking form → Fill from rate card</t>
  </si>
  <si>
    <t xml:space="preserve">Room charges = sum of nightly rates</t>
  </si>
  <si>
    <t xml:space="preserve">Security</t>
  </si>
  <si>
    <t xml:space="preserve">PIN lock</t>
  </si>
  <si>
    <t xml:space="preserve">Settings → Set a PIN; leave app 5+ min; reopen</t>
  </si>
  <si>
    <t xml:space="preserve">PIN screen; wrong PIN refused</t>
  </si>
  <si>
    <t xml:space="preserve">Passed (browser) — immediate lock-out after setting PIN found and fixed</t>
  </si>
  <si>
    <t xml:space="preserve">ID last 4 only</t>
  </si>
  <si>
    <t xml:space="preserve">Type a 12-digit ID in booking form</t>
  </si>
  <si>
    <t xml:space="preserve">Field accepts only 4 characters</t>
  </si>
  <si>
    <t xml:space="preserve">Delete everything</t>
  </si>
  <si>
    <t xml:space="preserve">Backup → Delete everything → type DELETE</t>
  </si>
  <si>
    <t xml:space="preserve">All records removed</t>
  </si>
  <si>
    <t xml:space="preserve">v1.1 Queries</t>
  </si>
  <si>
    <t xml:space="preserve">Add a query and send thanks</t>
  </si>
  <si>
    <t xml:space="preserve">Queries → Add New Query → WhatsApp: Thanks for your enquiry</t>
  </si>
  <si>
    <t xml:space="preserve">WhatsApp opens with an enquiry thank-you (not a booking confirmation); query becomes Answered</t>
  </si>
  <si>
    <t xml:space="preserve">Close query as booked</t>
  </si>
  <si>
    <t xml:space="preserve">Query → Closed · Booked → choose room → Save</t>
  </si>
  <si>
    <t xml:space="preserve">Booking form pre-filled; query shows Closed · Booked and links to the booking</t>
  </si>
  <si>
    <t xml:space="preserve">Conversion by channel</t>
  </si>
  <si>
    <t xml:space="preserve">Reports → Query conversion; Sheet → Query conversion tab</t>
  </si>
  <si>
    <t xml:space="preserve">Queries, booked, not booked and % per channel</t>
  </si>
  <si>
    <t xml:space="preserve">Passed (browser + simulation)</t>
  </si>
  <si>
    <t xml:space="preserve">v1.1 Dashboard</t>
  </si>
  <si>
    <t xml:space="preserve">Dashboard in app and 8 PM email</t>
  </si>
  <si>
    <t xml:space="preserve">Home → Dashboard; run testEmail after a sync</t>
  </si>
  <si>
    <t xml:space="preserve">Open/answered/closed queries; waiting/checked-in/cancelled; paid/part/unpaid</t>
  </si>
  <si>
    <t xml:space="preserve">Passed (browser + simulated email)</t>
  </si>
  <si>
    <t xml:space="preserve">v1.1 Payments</t>
  </si>
  <si>
    <t xml:space="preserve">Token ₹500 request</t>
  </si>
  <si>
    <t xml:space="preserve">Confirmed booking with nothing paid → WhatsApp: Token ₹500 request</t>
  </si>
  <si>
    <t xml:space="preserve">Message shows stay details, UPI ID and balance at check-in</t>
  </si>
  <si>
    <t xml:space="preserve">v1.1 Reviews</t>
  </si>
  <si>
    <t xml:space="preserve">Review request after check-out</t>
  </si>
  <si>
    <t xml:space="preserve">Check out a booking with guest email → Sync now</t>
  </si>
  <si>
    <t xml:space="preserve">WhatsApp button with 3 links; guest email with Rate us on Google / channel / Submit feedback buttons</t>
  </si>
  <si>
    <t xml:space="preserve">WhatsApp passed in browser; email passed in simulation — must test live</t>
  </si>
  <si>
    <t xml:space="preserve">Direct booking review</t>
  </si>
  <si>
    <t xml:space="preserve">Check out a Direct booking → WhatsApp: Review request</t>
  </si>
  <si>
    <t xml:space="preserve">Google link only, WhatsApp reply invitation and screenshot permission ask</t>
  </si>
  <si>
    <t xml:space="preserve">v1.1 Feedback</t>
  </si>
  <si>
    <t xml:space="preserve">Feedback form</t>
  </si>
  <si>
    <t xml:space="preserve">Open the Submit feedback link from the email on your phone; submit 5 stars + Yes</t>
  </si>
  <si>
    <t xml:space="preserve">Thank-you page; row in Feedback; row in Review consent; email alert to you</t>
  </si>
  <si>
    <t xml:space="preserve">Passed in simulation — must test live after redeploy</t>
  </si>
  <si>
    <t xml:space="preserve">WhatsApp alert to you</t>
  </si>
  <si>
    <t xml:space="preserve">Set B10/B11 (CallMeBot) then submit feedback</t>
  </si>
  <si>
    <t xml:space="preserve">WhatsApp message with first name, rating and consent</t>
  </si>
  <si>
    <t xml:space="preserve">Not possible here; CallMeBot currently full</t>
  </si>
  <si>
    <t xml:space="preserve">v1.1 Consent</t>
  </si>
  <si>
    <t xml:space="preserve">Consent from WhatsApp reply</t>
  </si>
  <si>
    <t xml:space="preserve">Guest page → Review &amp; feedback → Yes, via WhatsApp reply → Sync</t>
  </si>
  <si>
    <t xml:space="preserve">Row in Review consent tab</t>
  </si>
  <si>
    <t xml:space="preserve">v1.2 Import</t>
  </si>
  <si>
    <t xml:space="preserve">Import old queries from Numbers CSV</t>
  </si>
  <si>
    <t xml:space="preserve">More → Import old queries → choose CSV → Read my data → Import</t>
  </si>
  <si>
    <t xml:space="preserve">Preview counts match your sheet; queries appear under Queries → All with their real dates</t>
  </si>
  <si>
    <t xml:space="preserve">Passed with a messy test sheet (browser)</t>
  </si>
  <si>
    <t xml:space="preserve">Paste cells from Numbers</t>
  </si>
  <si>
    <t xml:space="preserve">Copy cells incl. heading row → paste → Read my data → Import</t>
  </si>
  <si>
    <t xml:space="preserve">Same as file import</t>
  </si>
  <si>
    <t xml:space="preserve">Re-import and undo</t>
  </si>
  <si>
    <t xml:space="preserve">Import the same CSV again; then Undo</t>
  </si>
  <si>
    <t xml:space="preserve">Second import adds 0; Undo removes only that import</t>
  </si>
  <si>
    <t xml:space="preserve">v1.3 Coupons</t>
  </si>
  <si>
    <t xml:space="preserve">Coupon on a booking</t>
  </si>
  <si>
    <t xml:space="preserve">Booking form → Coupon 10% (or custom % / ₹)</t>
  </si>
  <si>
    <t xml:space="preserve">Coupon line on calc box and bill; GST charged on the price after coupon</t>
  </si>
  <si>
    <t xml:space="preserve">Coupon offer to a direct query</t>
  </si>
  <si>
    <t xml:space="preserve">Direct query arriving tomorrow, room free → Offer a coupon → 10% → WhatsApp</t>
  </si>
  <si>
    <t xml:space="preserve">Message has code, price after coupon and valid-until date</t>
  </si>
  <si>
    <t xml:space="preserve">No coupon when full</t>
  </si>
  <si>
    <t xml:space="preserve">Same, but all rooms booked for those dates</t>
  </si>
  <si>
    <t xml:space="preserve">Shows "All rooms are booked"; no alert</t>
  </si>
  <si>
    <t xml:space="preserve">8 AM email coupon list</t>
  </si>
  <si>
    <t xml:space="preserve">Have a qualifying direct query, wait for 8 AM email</t>
  </si>
  <si>
    <t xml:space="preserve">"Offer a coupon?" section lists it</t>
  </si>
  <si>
    <t xml:space="preserve">Passed in simulation — must test live</t>
  </si>
  <si>
    <t xml:space="preserve">v1.3 Analytics</t>
  </si>
  <si>
    <t xml:space="preserve">Filters and comparison</t>
  </si>
  <si>
    <t xml:space="preserve">Reports → Analytics &amp; export → try each period, compare and channel</t>
  </si>
  <si>
    <t xml:space="preserve">Figures, ▲/▼ changes and charts update; All channels resets</t>
  </si>
  <si>
    <t xml:space="preserve">Season period</t>
  </si>
  <si>
    <t xml:space="preserve">Add a season in Settings → Analytics → Season</t>
  </si>
  <si>
    <t xml:space="preserve">Season dates used; compare with same period last year</t>
  </si>
  <si>
    <t xml:space="preserve">Excel export</t>
  </si>
  <si>
    <t xml:space="preserve">Download Excel → open in Numbers / Excel</t>
  </si>
  <si>
    <t xml:space="preserve">6 sheets incl. 3 charts on Charts sheet</t>
  </si>
  <si>
    <t xml:space="preserve">Passed (file checked; opening on your device not tested)</t>
  </si>
  <si>
    <t xml:space="preserve">PDF export</t>
  </si>
  <si>
    <t xml:space="preserve">Save as PDF → Print → save</t>
  </si>
  <si>
    <t xml:space="preserve">2-page report with charts, no menus</t>
  </si>
  <si>
    <t xml:space="preserve">Passed in browser print preview; iPhone print not tested</t>
  </si>
  <si>
    <t xml:space="preserve">Summary</t>
  </si>
  <si>
    <t xml:space="preserve">Fail</t>
  </si>
  <si>
    <t xml:space="preserve">Not tested yet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</si>
</sst>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2B"/>
      <name val="Arial"/>
      <family val="0"/>
      <charset val="1"/>
    </font>
    <font>
      <i val="true"/>
      <sz val="11"/>
      <color rgb="FF68716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E3A2B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2B"/>
        <bgColor rgb="FF333300"/>
      </patternFill>
    </fill>
    <fill>
      <patternFill patternType="solid">
        <fgColor rgb="FFFFF2B3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3A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EFE5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>
          <bgColor rgb="FFF8E3DF"/>
        </patternFill>
      </fill>
    </dxf>
    <dxf>
      <fill>
        <patternFill>
          <bgColor rgb="FFE1EF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FE5"/>
      <rgbColor rgb="FFFFFF99"/>
      <rgbColor rgb="FF99CCFF"/>
      <rgbColor rgb="FFFF99CC"/>
      <rgbColor rgb="FFCC99FF"/>
      <rgbColor rgb="FFF8E3DF"/>
      <rgbColor rgb="FF3366FF"/>
      <rgbColor rgb="FF33CCCC"/>
      <rgbColor rgb="FF99CC00"/>
      <rgbColor rgb="FFFFCC00"/>
      <rgbColor rgb="FFFF9900"/>
      <rgbColor rgb="FFFF6600"/>
      <rgbColor rgb="FF6871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6.85" hidden="false" customHeight="false" outlineLevel="0" collapsed="false">
      <c r="A4" s="4" t="n">
        <v>1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5" t="s">
        <v>16</v>
      </c>
      <c r="H4" s="5" t="s">
        <v>17</v>
      </c>
      <c r="I4" s="4" t="str">
        <f aca="false">IF(G4="Fail","Send me a screenshot + steps",IF(G4="Pass","Done","Quick re-check on phone"))</f>
        <v>Done</v>
      </c>
    </row>
    <row r="5" customFormat="false" ht="26.85" hidden="false" customHeight="false" outlineLevel="0" collapsed="false">
      <c r="A5" s="4" t="n">
        <v>2</v>
      </c>
      <c r="B5" s="4" t="s">
        <v>11</v>
      </c>
      <c r="C5" s="4" t="s">
        <v>18</v>
      </c>
      <c r="D5" s="4" t="s">
        <v>19</v>
      </c>
      <c r="E5" s="4" t="s">
        <v>20</v>
      </c>
      <c r="F5" s="4" t="s">
        <v>15</v>
      </c>
      <c r="G5" s="5"/>
      <c r="H5" s="5"/>
      <c r="I5" s="4" t="str">
        <f aca="false">IF(G5="Fail","Send me a screenshot + steps",IF(G5="Pass","Done","Quick re-check on phone"))</f>
        <v>Quick re-check on phone</v>
      </c>
    </row>
    <row r="6" customFormat="false" ht="15" hidden="false" customHeight="false" outlineLevel="0" collapsed="false">
      <c r="A6" s="4" t="n">
        <v>3</v>
      </c>
      <c r="B6" s="4" t="s">
        <v>11</v>
      </c>
      <c r="C6" s="4" t="s">
        <v>21</v>
      </c>
      <c r="D6" s="4" t="s">
        <v>22</v>
      </c>
      <c r="E6" s="4" t="s">
        <v>23</v>
      </c>
      <c r="F6" s="4" t="s">
        <v>15</v>
      </c>
      <c r="G6" s="5"/>
      <c r="H6" s="5"/>
      <c r="I6" s="4" t="str">
        <f aca="false">IF(G6="Fail","Send me a screenshot + steps",IF(G6="Pass","Done","Quick re-check on phone"))</f>
        <v>Quick re-check on phone</v>
      </c>
    </row>
    <row r="7" customFormat="false" ht="39.55" hidden="false" customHeight="false" outlineLevel="0" collapsed="false">
      <c r="A7" s="4" t="n">
        <v>4</v>
      </c>
      <c r="B7" s="4" t="s">
        <v>11</v>
      </c>
      <c r="C7" s="4" t="s">
        <v>24</v>
      </c>
      <c r="D7" s="4" t="s">
        <v>25</v>
      </c>
      <c r="E7" s="4" t="s">
        <v>26</v>
      </c>
      <c r="F7" s="4" t="s">
        <v>15</v>
      </c>
      <c r="G7" s="5"/>
      <c r="H7" s="5"/>
      <c r="I7" s="4" t="str">
        <f aca="false">IF(G7="Fail","Send me a screenshot + steps",IF(G7="Pass","Done","Quick re-check on phone"))</f>
        <v>Quick re-check on phone</v>
      </c>
    </row>
    <row r="8" customFormat="false" ht="26.85" hidden="false" customHeight="false" outlineLevel="0" collapsed="false">
      <c r="A8" s="4" t="n">
        <v>5</v>
      </c>
      <c r="B8" s="4" t="s">
        <v>11</v>
      </c>
      <c r="C8" s="4" t="s">
        <v>27</v>
      </c>
      <c r="D8" s="4" t="s">
        <v>28</v>
      </c>
      <c r="E8" s="4" t="s">
        <v>29</v>
      </c>
      <c r="F8" s="4" t="s">
        <v>15</v>
      </c>
      <c r="G8" s="5"/>
      <c r="H8" s="5"/>
      <c r="I8" s="4" t="str">
        <f aca="false">IF(G8="Fail","Send me a screenshot + steps",IF(G8="Pass","Done","Quick re-check on phone"))</f>
        <v>Quick re-check on phone</v>
      </c>
    </row>
    <row r="9" customFormat="false" ht="26.85" hidden="false" customHeight="false" outlineLevel="0" collapsed="false">
      <c r="A9" s="4" t="n">
        <v>6</v>
      </c>
      <c r="B9" s="4" t="s">
        <v>11</v>
      </c>
      <c r="C9" s="4" t="s">
        <v>30</v>
      </c>
      <c r="D9" s="4" t="s">
        <v>31</v>
      </c>
      <c r="E9" s="4" t="s">
        <v>32</v>
      </c>
      <c r="F9" s="4" t="s">
        <v>33</v>
      </c>
      <c r="G9" s="5"/>
      <c r="H9" s="5"/>
      <c r="I9" s="4" t="str">
        <f aca="false">IF(G9="Fail","Send me a screenshot + steps",IF(G9="Pass","Done","Quick re-check on phone"))</f>
        <v>Quick re-check on phone</v>
      </c>
    </row>
    <row r="10" customFormat="false" ht="26.85" hidden="false" customHeight="false" outlineLevel="0" collapsed="false">
      <c r="A10" s="4" t="n">
        <v>7</v>
      </c>
      <c r="B10" s="4" t="s">
        <v>11</v>
      </c>
      <c r="C10" s="4" t="s">
        <v>34</v>
      </c>
      <c r="D10" s="4" t="s">
        <v>35</v>
      </c>
      <c r="E10" s="4" t="s">
        <v>36</v>
      </c>
      <c r="F10" s="4" t="s">
        <v>15</v>
      </c>
      <c r="G10" s="5"/>
      <c r="H10" s="5"/>
      <c r="I10" s="4" t="str">
        <f aca="false">IF(G10="Fail","Send me a screenshot + steps",IF(G10="Pass","Done","Quick re-check on phone"))</f>
        <v>Quick re-check on phone</v>
      </c>
    </row>
    <row r="11" customFormat="false" ht="15" hidden="false" customHeight="false" outlineLevel="0" collapsed="false">
      <c r="A11" s="4" t="n">
        <v>8</v>
      </c>
      <c r="B11" s="4" t="s">
        <v>11</v>
      </c>
      <c r="C11" s="4" t="s">
        <v>37</v>
      </c>
      <c r="D11" s="4" t="s">
        <v>38</v>
      </c>
      <c r="E11" s="4" t="s">
        <v>39</v>
      </c>
      <c r="F11" s="4" t="s">
        <v>15</v>
      </c>
      <c r="G11" s="5"/>
      <c r="H11" s="5"/>
      <c r="I11" s="4" t="str">
        <f aca="false">IF(G11="Fail","Send me a screenshot + steps",IF(G11="Pass","Done","Quick re-check on phone"))</f>
        <v>Quick re-check on phone</v>
      </c>
    </row>
    <row r="12" customFormat="false" ht="39.55" hidden="false" customHeight="false" outlineLevel="0" collapsed="false">
      <c r="A12" s="4" t="n">
        <v>9</v>
      </c>
      <c r="B12" s="4" t="s">
        <v>11</v>
      </c>
      <c r="C12" s="4" t="s">
        <v>40</v>
      </c>
      <c r="D12" s="4" t="s">
        <v>41</v>
      </c>
      <c r="E12" s="4" t="s">
        <v>42</v>
      </c>
      <c r="F12" s="4" t="s">
        <v>43</v>
      </c>
      <c r="G12" s="5"/>
      <c r="H12" s="5"/>
      <c r="I12" s="4" t="str">
        <f aca="false">IF(G12="Fail","Send me a screenshot + steps",IF(G12="Pass","Done","Test on your phone first"))</f>
        <v>Test on your phone first</v>
      </c>
    </row>
    <row r="13" customFormat="false" ht="26.85" hidden="false" customHeight="false" outlineLevel="0" collapsed="false">
      <c r="A13" s="4" t="n">
        <v>10</v>
      </c>
      <c r="B13" s="4" t="s">
        <v>11</v>
      </c>
      <c r="C13" s="4" t="s">
        <v>44</v>
      </c>
      <c r="D13" s="4" t="s">
        <v>45</v>
      </c>
      <c r="E13" s="4" t="s">
        <v>46</v>
      </c>
      <c r="F13" s="4" t="s">
        <v>15</v>
      </c>
      <c r="G13" s="5"/>
      <c r="H13" s="5"/>
      <c r="I13" s="4" t="str">
        <f aca="false">IF(G13="Fail","Send me a screenshot + steps",IF(G13="Pass","Done","Quick re-check on phone"))</f>
        <v>Quick re-check on phone</v>
      </c>
    </row>
    <row r="14" customFormat="false" ht="26.85" hidden="false" customHeight="false" outlineLevel="0" collapsed="false">
      <c r="A14" s="4" t="n">
        <v>11</v>
      </c>
      <c r="B14" s="4" t="s">
        <v>11</v>
      </c>
      <c r="C14" s="4" t="s">
        <v>47</v>
      </c>
      <c r="D14" s="4" t="s">
        <v>48</v>
      </c>
      <c r="E14" s="4" t="s">
        <v>49</v>
      </c>
      <c r="F14" s="4" t="s">
        <v>50</v>
      </c>
      <c r="G14" s="5"/>
      <c r="H14" s="5"/>
      <c r="I14" s="4" t="str">
        <f aca="false">IF(G14="Fail","Send me a screenshot + steps",IF(G14="Pass","Done","Test on your phone first"))</f>
        <v>Test on your phone first</v>
      </c>
    </row>
    <row r="15" customFormat="false" ht="26.85" hidden="false" customHeight="false" outlineLevel="0" collapsed="false">
      <c r="A15" s="4" t="n">
        <v>12</v>
      </c>
      <c r="B15" s="4" t="s">
        <v>11</v>
      </c>
      <c r="C15" s="4" t="s">
        <v>51</v>
      </c>
      <c r="D15" s="4" t="s">
        <v>52</v>
      </c>
      <c r="E15" s="4" t="s">
        <v>53</v>
      </c>
      <c r="F15" s="4" t="s">
        <v>54</v>
      </c>
      <c r="G15" s="5"/>
      <c r="H15" s="5"/>
      <c r="I15" s="4" t="str">
        <f aca="false">IF(G15="Fail","Send me a screenshot + steps",IF(G15="Pass","Done","Test on your phone first"))</f>
        <v>Test on your phone first</v>
      </c>
    </row>
    <row r="16" customFormat="false" ht="26.85" hidden="false" customHeight="false" outlineLevel="0" collapsed="false">
      <c r="A16" s="4" t="n">
        <v>13</v>
      </c>
      <c r="B16" s="4" t="s">
        <v>11</v>
      </c>
      <c r="C16" s="4" t="s">
        <v>55</v>
      </c>
      <c r="D16" s="4" t="s">
        <v>56</v>
      </c>
      <c r="E16" s="4" t="s">
        <v>57</v>
      </c>
      <c r="F16" s="4" t="s">
        <v>58</v>
      </c>
      <c r="G16" s="5"/>
      <c r="H16" s="5"/>
      <c r="I16" s="4" t="str">
        <f aca="false">IF(G16="Fail","Send me a screenshot + steps",IF(G16="Pass","Done","Test on your phone first"))</f>
        <v>Test on your phone first</v>
      </c>
    </row>
    <row r="17" customFormat="false" ht="26.85" hidden="false" customHeight="false" outlineLevel="0" collapsed="false">
      <c r="A17" s="4" t="n">
        <v>14</v>
      </c>
      <c r="B17" s="4" t="s">
        <v>11</v>
      </c>
      <c r="C17" s="4" t="s">
        <v>59</v>
      </c>
      <c r="D17" s="4" t="s">
        <v>60</v>
      </c>
      <c r="E17" s="4" t="s">
        <v>61</v>
      </c>
      <c r="F17" s="4" t="s">
        <v>62</v>
      </c>
      <c r="G17" s="5"/>
      <c r="H17" s="5"/>
      <c r="I17" s="4" t="str">
        <f aca="false">IF(G17="Fail","Send me a screenshot + steps",IF(G17="Pass","Done","Test on your phone first"))</f>
        <v>Test on your phone first</v>
      </c>
    </row>
    <row r="18" customFormat="false" ht="26.85" hidden="false" customHeight="false" outlineLevel="0" collapsed="false">
      <c r="A18" s="4" t="n">
        <v>15</v>
      </c>
      <c r="B18" s="4" t="s">
        <v>63</v>
      </c>
      <c r="C18" s="4" t="s">
        <v>64</v>
      </c>
      <c r="D18" s="4" t="s">
        <v>65</v>
      </c>
      <c r="E18" s="4" t="s">
        <v>66</v>
      </c>
      <c r="F18" s="4" t="s">
        <v>67</v>
      </c>
      <c r="G18" s="5"/>
      <c r="H18" s="5"/>
      <c r="I18" s="4" t="str">
        <f aca="false">IF(G18="Fail","Send me a screenshot + steps",IF(G18="Pass","Done","Test on your phone first"))</f>
        <v>Test on your phone first</v>
      </c>
    </row>
    <row r="19" customFormat="false" ht="15" hidden="false" customHeight="false" outlineLevel="0" collapsed="false">
      <c r="A19" s="4" t="n">
        <v>16</v>
      </c>
      <c r="B19" s="4" t="s">
        <v>63</v>
      </c>
      <c r="C19" s="4" t="s">
        <v>68</v>
      </c>
      <c r="D19" s="4" t="s">
        <v>69</v>
      </c>
      <c r="E19" s="4" t="s">
        <v>70</v>
      </c>
      <c r="F19" s="4" t="s">
        <v>67</v>
      </c>
      <c r="G19" s="5"/>
      <c r="H19" s="5"/>
      <c r="I19" s="4" t="str">
        <f aca="false">IF(G19="Fail","Send me a screenshot + steps",IF(G19="Pass","Done","Test on your phone first"))</f>
        <v>Test on your phone first</v>
      </c>
    </row>
    <row r="20" customFormat="false" ht="26.85" hidden="false" customHeight="false" outlineLevel="0" collapsed="false">
      <c r="A20" s="4" t="n">
        <v>17</v>
      </c>
      <c r="B20" s="4" t="s">
        <v>63</v>
      </c>
      <c r="C20" s="4" t="s">
        <v>71</v>
      </c>
      <c r="D20" s="4" t="s">
        <v>72</v>
      </c>
      <c r="E20" s="4" t="s">
        <v>73</v>
      </c>
      <c r="F20" s="4" t="s">
        <v>67</v>
      </c>
      <c r="G20" s="5"/>
      <c r="H20" s="5"/>
      <c r="I20" s="4" t="str">
        <f aca="false">IF(G20="Fail","Send me a screenshot + steps",IF(G20="Pass","Done","Test on your phone first"))</f>
        <v>Test on your phone first</v>
      </c>
    </row>
    <row r="21" customFormat="false" ht="26.85" hidden="false" customHeight="false" outlineLevel="0" collapsed="false">
      <c r="A21" s="4" t="n">
        <v>18</v>
      </c>
      <c r="B21" s="4" t="s">
        <v>74</v>
      </c>
      <c r="C21" s="4" t="s">
        <v>75</v>
      </c>
      <c r="D21" s="4" t="s">
        <v>76</v>
      </c>
      <c r="E21" s="4" t="s">
        <v>77</v>
      </c>
      <c r="F21" s="4" t="s">
        <v>78</v>
      </c>
      <c r="G21" s="5"/>
      <c r="H21" s="5"/>
      <c r="I21" s="4" t="str">
        <f aca="false">IF(G21="Fail","Send me a screenshot + steps",IF(G21="Pass","Done","Test on your phone first"))</f>
        <v>Test on your phone first</v>
      </c>
    </row>
    <row r="22" customFormat="false" ht="26.85" hidden="false" customHeight="false" outlineLevel="0" collapsed="false">
      <c r="A22" s="4" t="n">
        <v>19</v>
      </c>
      <c r="B22" s="4" t="s">
        <v>74</v>
      </c>
      <c r="C22" s="4" t="s">
        <v>79</v>
      </c>
      <c r="D22" s="4" t="s">
        <v>80</v>
      </c>
      <c r="E22" s="4" t="s">
        <v>81</v>
      </c>
      <c r="F22" s="4" t="s">
        <v>82</v>
      </c>
      <c r="G22" s="5"/>
      <c r="H22" s="5"/>
      <c r="I22" s="4" t="str">
        <f aca="false">IF(G22="Fail","Send me a screenshot + steps",IF(G22="Pass","Done","Quick re-check on phone"))</f>
        <v>Quick re-check on phone</v>
      </c>
    </row>
    <row r="23" customFormat="false" ht="26.85" hidden="false" customHeight="false" outlineLevel="0" collapsed="false">
      <c r="A23" s="4" t="n">
        <v>20</v>
      </c>
      <c r="B23" s="4" t="s">
        <v>74</v>
      </c>
      <c r="C23" s="4" t="s">
        <v>83</v>
      </c>
      <c r="D23" s="4" t="s">
        <v>84</v>
      </c>
      <c r="E23" s="4" t="s">
        <v>85</v>
      </c>
      <c r="F23" s="4" t="s">
        <v>82</v>
      </c>
      <c r="G23" s="5"/>
      <c r="H23" s="5"/>
      <c r="I23" s="4" t="str">
        <f aca="false">IF(G23="Fail","Send me a screenshot + steps",IF(G23="Pass","Done","Quick re-check on phone"))</f>
        <v>Quick re-check on phone</v>
      </c>
    </row>
    <row r="24" customFormat="false" ht="26.85" hidden="false" customHeight="false" outlineLevel="0" collapsed="false">
      <c r="A24" s="4" t="n">
        <v>21</v>
      </c>
      <c r="B24" s="4" t="s">
        <v>86</v>
      </c>
      <c r="C24" s="4" t="s">
        <v>87</v>
      </c>
      <c r="D24" s="4" t="s">
        <v>88</v>
      </c>
      <c r="E24" s="4" t="s">
        <v>89</v>
      </c>
      <c r="F24" s="4" t="s">
        <v>90</v>
      </c>
      <c r="G24" s="5"/>
      <c r="H24" s="5"/>
      <c r="I24" s="4" t="str">
        <f aca="false">IF(G24="Fail","Send me a screenshot + steps",IF(G24="Pass","Done","Quick re-check on phone"))</f>
        <v>Quick re-check on phone</v>
      </c>
    </row>
    <row r="25" customFormat="false" ht="15" hidden="false" customHeight="false" outlineLevel="0" collapsed="false">
      <c r="A25" s="4" t="n">
        <v>22</v>
      </c>
      <c r="B25" s="4" t="s">
        <v>86</v>
      </c>
      <c r="C25" s="4" t="s">
        <v>91</v>
      </c>
      <c r="D25" s="4" t="s">
        <v>92</v>
      </c>
      <c r="E25" s="4" t="s">
        <v>93</v>
      </c>
      <c r="F25" s="4" t="s">
        <v>94</v>
      </c>
      <c r="G25" s="5"/>
      <c r="H25" s="5"/>
      <c r="I25" s="4" t="str">
        <f aca="false">IF(G25="Fail","Send me a screenshot + steps",IF(G25="Pass","Done","Quick re-check on phone"))</f>
        <v>Quick re-check on phone</v>
      </c>
    </row>
    <row r="26" customFormat="false" ht="26.85" hidden="false" customHeight="false" outlineLevel="0" collapsed="false">
      <c r="A26" s="4" t="n">
        <v>23</v>
      </c>
      <c r="B26" s="4" t="s">
        <v>86</v>
      </c>
      <c r="C26" s="4" t="s">
        <v>95</v>
      </c>
      <c r="D26" s="4" t="s">
        <v>96</v>
      </c>
      <c r="E26" s="4" t="s">
        <v>97</v>
      </c>
      <c r="F26" s="4" t="s">
        <v>98</v>
      </c>
      <c r="G26" s="5"/>
      <c r="H26" s="5"/>
      <c r="I26" s="4" t="str">
        <f aca="false">IF(G26="Fail","Send me a screenshot + steps",IF(G26="Pass","Done","Quick re-check on phone"))</f>
        <v>Quick re-check on phone</v>
      </c>
    </row>
    <row r="27" customFormat="false" ht="26.85" hidden="false" customHeight="false" outlineLevel="0" collapsed="false">
      <c r="A27" s="4" t="n">
        <v>24</v>
      </c>
      <c r="B27" s="4" t="s">
        <v>99</v>
      </c>
      <c r="C27" s="4" t="s">
        <v>100</v>
      </c>
      <c r="D27" s="4" t="s">
        <v>101</v>
      </c>
      <c r="E27" s="4" t="s">
        <v>102</v>
      </c>
      <c r="F27" s="4" t="s">
        <v>90</v>
      </c>
      <c r="G27" s="5"/>
      <c r="H27" s="5"/>
      <c r="I27" s="4" t="str">
        <f aca="false">IF(G27="Fail","Send me a screenshot + steps",IF(G27="Pass","Done","Quick re-check on phone"))</f>
        <v>Quick re-check on phone</v>
      </c>
    </row>
    <row r="28" customFormat="false" ht="26.85" hidden="false" customHeight="false" outlineLevel="0" collapsed="false">
      <c r="A28" s="4" t="n">
        <v>25</v>
      </c>
      <c r="B28" s="4" t="s">
        <v>99</v>
      </c>
      <c r="C28" s="4" t="s">
        <v>103</v>
      </c>
      <c r="D28" s="4" t="s">
        <v>104</v>
      </c>
      <c r="E28" s="4" t="s">
        <v>105</v>
      </c>
      <c r="F28" s="4" t="s">
        <v>94</v>
      </c>
      <c r="G28" s="5"/>
      <c r="H28" s="5"/>
      <c r="I28" s="4" t="str">
        <f aca="false">IF(G28="Fail","Send me a screenshot + steps",IF(G28="Pass","Done","Quick re-check on phone"))</f>
        <v>Quick re-check on phone</v>
      </c>
    </row>
    <row r="29" customFormat="false" ht="26.85" hidden="false" customHeight="false" outlineLevel="0" collapsed="false">
      <c r="A29" s="4" t="n">
        <v>26</v>
      </c>
      <c r="B29" s="4" t="s">
        <v>99</v>
      </c>
      <c r="C29" s="4" t="s">
        <v>106</v>
      </c>
      <c r="D29" s="4" t="s">
        <v>107</v>
      </c>
      <c r="E29" s="4" t="s">
        <v>108</v>
      </c>
      <c r="F29" s="4" t="s">
        <v>109</v>
      </c>
      <c r="G29" s="5"/>
      <c r="H29" s="5"/>
      <c r="I29" s="4" t="str">
        <f aca="false">IF(G29="Fail","Send me a screenshot + steps",IF(G29="Pass","Done","Quick re-check on phone"))</f>
        <v>Quick re-check on phone</v>
      </c>
    </row>
    <row r="30" customFormat="false" ht="26.85" hidden="false" customHeight="false" outlineLevel="0" collapsed="false">
      <c r="A30" s="4" t="n">
        <v>27</v>
      </c>
      <c r="B30" s="4" t="s">
        <v>99</v>
      </c>
      <c r="C30" s="4" t="s">
        <v>110</v>
      </c>
      <c r="D30" s="4" t="s">
        <v>111</v>
      </c>
      <c r="E30" s="4" t="s">
        <v>112</v>
      </c>
      <c r="F30" s="4" t="s">
        <v>67</v>
      </c>
      <c r="G30" s="5"/>
      <c r="H30" s="5"/>
      <c r="I30" s="4" t="str">
        <f aca="false">IF(G30="Fail","Send me a screenshot + steps",IF(G30="Pass","Done","Test on your phone first"))</f>
        <v>Test on your phone first</v>
      </c>
    </row>
    <row r="31" customFormat="false" ht="26.85" hidden="false" customHeight="false" outlineLevel="0" collapsed="false">
      <c r="A31" s="4" t="n">
        <v>28</v>
      </c>
      <c r="B31" s="4" t="s">
        <v>99</v>
      </c>
      <c r="C31" s="4" t="s">
        <v>113</v>
      </c>
      <c r="D31" s="4" t="s">
        <v>114</v>
      </c>
      <c r="E31" s="4" t="s">
        <v>115</v>
      </c>
      <c r="F31" s="4" t="s">
        <v>67</v>
      </c>
      <c r="G31" s="5"/>
      <c r="H31" s="5"/>
      <c r="I31" s="4" t="str">
        <f aca="false">IF(G31="Fail","Send me a screenshot + steps",IF(G31="Pass","Done","Test on your phone first"))</f>
        <v>Test on your phone first</v>
      </c>
    </row>
    <row r="32" customFormat="false" ht="15" hidden="false" customHeight="false" outlineLevel="0" collapsed="false">
      <c r="A32" s="4" t="n">
        <v>29</v>
      </c>
      <c r="B32" s="4" t="s">
        <v>99</v>
      </c>
      <c r="C32" s="4" t="s">
        <v>116</v>
      </c>
      <c r="D32" s="4" t="s">
        <v>117</v>
      </c>
      <c r="E32" s="4" t="s">
        <v>118</v>
      </c>
      <c r="F32" s="4" t="s">
        <v>15</v>
      </c>
      <c r="G32" s="5"/>
      <c r="H32" s="5"/>
      <c r="I32" s="4" t="str">
        <f aca="false">IF(G32="Fail","Send me a screenshot + steps",IF(G32="Pass","Done","Quick re-check on phone"))</f>
        <v>Quick re-check on phone</v>
      </c>
    </row>
    <row r="33" customFormat="false" ht="26.85" hidden="false" customHeight="false" outlineLevel="0" collapsed="false">
      <c r="A33" s="4" t="n">
        <v>30</v>
      </c>
      <c r="B33" s="4" t="s">
        <v>99</v>
      </c>
      <c r="C33" s="4" t="s">
        <v>119</v>
      </c>
      <c r="D33" s="4" t="s">
        <v>120</v>
      </c>
      <c r="E33" s="4" t="s">
        <v>121</v>
      </c>
      <c r="F33" s="4" t="s">
        <v>94</v>
      </c>
      <c r="G33" s="5"/>
      <c r="H33" s="5"/>
      <c r="I33" s="4" t="str">
        <f aca="false">IF(G33="Fail","Send me a screenshot + steps",IF(G33="Pass","Done","Quick re-check on phone"))</f>
        <v>Quick re-check on phone</v>
      </c>
    </row>
    <row r="34" customFormat="false" ht="26.85" hidden="false" customHeight="false" outlineLevel="0" collapsed="false">
      <c r="A34" s="4" t="n">
        <v>31</v>
      </c>
      <c r="B34" s="4" t="s">
        <v>99</v>
      </c>
      <c r="C34" s="4" t="s">
        <v>122</v>
      </c>
      <c r="D34" s="4" t="s">
        <v>123</v>
      </c>
      <c r="E34" s="4" t="s">
        <v>124</v>
      </c>
      <c r="F34" s="4" t="s">
        <v>94</v>
      </c>
      <c r="G34" s="5"/>
      <c r="H34" s="5"/>
      <c r="I34" s="4" t="str">
        <f aca="false">IF(G34="Fail","Send me a screenshot + steps",IF(G34="Pass","Done","Quick re-check on phone"))</f>
        <v>Quick re-check on phone</v>
      </c>
    </row>
    <row r="35" customFormat="false" ht="39.55" hidden="false" customHeight="false" outlineLevel="0" collapsed="false">
      <c r="A35" s="4" t="n">
        <v>32</v>
      </c>
      <c r="B35" s="4" t="s">
        <v>125</v>
      </c>
      <c r="C35" s="4" t="s">
        <v>126</v>
      </c>
      <c r="D35" s="4" t="s">
        <v>127</v>
      </c>
      <c r="E35" s="4" t="s">
        <v>128</v>
      </c>
      <c r="F35" s="4" t="s">
        <v>129</v>
      </c>
      <c r="G35" s="5"/>
      <c r="H35" s="5"/>
      <c r="I35" s="4" t="str">
        <f aca="false">IF(G35="Fail","Send me a screenshot + steps",IF(G35="Pass","Done","Quick re-check on phone"))</f>
        <v>Quick re-check on phone</v>
      </c>
    </row>
    <row r="36" customFormat="false" ht="15" hidden="false" customHeight="false" outlineLevel="0" collapsed="false">
      <c r="A36" s="4" t="n">
        <v>33</v>
      </c>
      <c r="B36" s="4" t="s">
        <v>125</v>
      </c>
      <c r="C36" s="4" t="s">
        <v>130</v>
      </c>
      <c r="D36" s="4" t="s">
        <v>131</v>
      </c>
      <c r="E36" s="4" t="s">
        <v>132</v>
      </c>
      <c r="F36" s="4" t="s">
        <v>94</v>
      </c>
      <c r="G36" s="5"/>
      <c r="H36" s="5"/>
      <c r="I36" s="4" t="str">
        <f aca="false">IF(G36="Fail","Send me a screenshot + steps",IF(G36="Pass","Done","Quick re-check on phone"))</f>
        <v>Quick re-check on phone</v>
      </c>
    </row>
    <row r="37" customFormat="false" ht="15" hidden="false" customHeight="false" outlineLevel="0" collapsed="false">
      <c r="A37" s="4" t="n">
        <v>34</v>
      </c>
      <c r="B37" s="4" t="s">
        <v>125</v>
      </c>
      <c r="C37" s="4" t="s">
        <v>133</v>
      </c>
      <c r="D37" s="4" t="s">
        <v>134</v>
      </c>
      <c r="E37" s="4" t="s">
        <v>135</v>
      </c>
      <c r="F37" s="4" t="s">
        <v>90</v>
      </c>
      <c r="G37" s="5"/>
      <c r="H37" s="5"/>
      <c r="I37" s="4" t="str">
        <f aca="false">IF(G37="Fail","Send me a screenshot + steps",IF(G37="Pass","Done","Quick re-check on phone"))</f>
        <v>Quick re-check on phone</v>
      </c>
    </row>
    <row r="38" customFormat="false" ht="39.55" hidden="false" customHeight="false" outlineLevel="0" collapsed="false">
      <c r="A38" s="4" t="n">
        <v>35</v>
      </c>
      <c r="B38" s="4" t="s">
        <v>136</v>
      </c>
      <c r="C38" s="4" t="s">
        <v>137</v>
      </c>
      <c r="D38" s="4" t="s">
        <v>138</v>
      </c>
      <c r="E38" s="4" t="s">
        <v>139</v>
      </c>
      <c r="F38" s="4" t="s">
        <v>90</v>
      </c>
      <c r="G38" s="5"/>
      <c r="H38" s="5"/>
      <c r="I38" s="4" t="str">
        <f aca="false">IF(G38="Fail","Send me a screenshot + steps",IF(G38="Pass","Done","Quick re-check on phone"))</f>
        <v>Quick re-check on phone</v>
      </c>
    </row>
    <row r="39" customFormat="false" ht="26.85" hidden="false" customHeight="false" outlineLevel="0" collapsed="false">
      <c r="A39" s="4" t="n">
        <v>36</v>
      </c>
      <c r="B39" s="4" t="s">
        <v>136</v>
      </c>
      <c r="C39" s="4" t="s">
        <v>140</v>
      </c>
      <c r="D39" s="4" t="s">
        <v>141</v>
      </c>
      <c r="E39" s="4" t="s">
        <v>142</v>
      </c>
      <c r="F39" s="4" t="s">
        <v>90</v>
      </c>
      <c r="G39" s="5"/>
      <c r="H39" s="5"/>
      <c r="I39" s="4" t="str">
        <f aca="false">IF(G39="Fail","Send me a screenshot + steps",IF(G39="Pass","Done","Quick re-check on phone"))</f>
        <v>Quick re-check on phone</v>
      </c>
    </row>
    <row r="40" customFormat="false" ht="26.85" hidden="false" customHeight="false" outlineLevel="0" collapsed="false">
      <c r="A40" s="4" t="n">
        <v>37</v>
      </c>
      <c r="B40" s="4" t="s">
        <v>136</v>
      </c>
      <c r="C40" s="4" t="s">
        <v>143</v>
      </c>
      <c r="D40" s="4" t="s">
        <v>144</v>
      </c>
      <c r="E40" s="4" t="s">
        <v>145</v>
      </c>
      <c r="F40" s="4" t="s">
        <v>146</v>
      </c>
      <c r="G40" s="5"/>
      <c r="H40" s="5"/>
      <c r="I40" s="4" t="str">
        <f aca="false">IF(G40="Fail","Send me a screenshot + steps",IF(G40="Pass","Done","Quick re-check on phone"))</f>
        <v>Quick re-check on phone</v>
      </c>
    </row>
    <row r="41" customFormat="false" ht="39.55" hidden="false" customHeight="false" outlineLevel="0" collapsed="false">
      <c r="A41" s="4" t="n">
        <v>38</v>
      </c>
      <c r="B41" s="4" t="s">
        <v>147</v>
      </c>
      <c r="C41" s="4" t="s">
        <v>148</v>
      </c>
      <c r="D41" s="4" t="s">
        <v>149</v>
      </c>
      <c r="E41" s="4" t="s">
        <v>150</v>
      </c>
      <c r="F41" s="4" t="s">
        <v>151</v>
      </c>
      <c r="G41" s="5"/>
      <c r="H41" s="5"/>
      <c r="I41" s="4" t="str">
        <f aca="false">IF(G41="Fail","Send me a screenshot + steps",IF(G41="Pass","Done","Quick re-check on phone"))</f>
        <v>Quick re-check on phone</v>
      </c>
    </row>
    <row r="42" customFormat="false" ht="26.85" hidden="false" customHeight="false" outlineLevel="0" collapsed="false">
      <c r="A42" s="4" t="n">
        <v>39</v>
      </c>
      <c r="B42" s="4" t="s">
        <v>152</v>
      </c>
      <c r="C42" s="4" t="s">
        <v>153</v>
      </c>
      <c r="D42" s="4" t="s">
        <v>154</v>
      </c>
      <c r="E42" s="4" t="s">
        <v>155</v>
      </c>
      <c r="F42" s="4" t="s">
        <v>90</v>
      </c>
      <c r="G42" s="5"/>
      <c r="H42" s="5"/>
      <c r="I42" s="4" t="str">
        <f aca="false">IF(G42="Fail","Send me a screenshot + steps",IF(G42="Pass","Done","Quick re-check on phone"))</f>
        <v>Quick re-check on phone</v>
      </c>
    </row>
    <row r="43" customFormat="false" ht="39.55" hidden="false" customHeight="false" outlineLevel="0" collapsed="false">
      <c r="A43" s="4" t="n">
        <v>40</v>
      </c>
      <c r="B43" s="4" t="s">
        <v>156</v>
      </c>
      <c r="C43" s="4" t="s">
        <v>157</v>
      </c>
      <c r="D43" s="4" t="s">
        <v>158</v>
      </c>
      <c r="E43" s="4" t="s">
        <v>159</v>
      </c>
      <c r="F43" s="4" t="s">
        <v>160</v>
      </c>
      <c r="G43" s="5"/>
      <c r="H43" s="5"/>
      <c r="I43" s="4" t="str">
        <f aca="false">IF(G43="Fail","Send me a screenshot + steps",IF(G43="Pass","Done","Test on your phone first"))</f>
        <v>Test on your phone first</v>
      </c>
    </row>
    <row r="44" customFormat="false" ht="26.85" hidden="false" customHeight="false" outlineLevel="0" collapsed="false">
      <c r="A44" s="4" t="n">
        <v>41</v>
      </c>
      <c r="B44" s="4" t="s">
        <v>156</v>
      </c>
      <c r="C44" s="4" t="s">
        <v>161</v>
      </c>
      <c r="D44" s="4" t="s">
        <v>162</v>
      </c>
      <c r="E44" s="4" t="s">
        <v>163</v>
      </c>
      <c r="F44" s="4" t="s">
        <v>90</v>
      </c>
      <c r="G44" s="5"/>
      <c r="H44" s="5"/>
      <c r="I44" s="4" t="str">
        <f aca="false">IF(G44="Fail","Send me a screenshot + steps",IF(G44="Pass","Done","Quick re-check on phone"))</f>
        <v>Quick re-check on phone</v>
      </c>
    </row>
    <row r="45" customFormat="false" ht="26.85" hidden="false" customHeight="false" outlineLevel="0" collapsed="false">
      <c r="A45" s="4" t="n">
        <v>42</v>
      </c>
      <c r="B45" s="4" t="s">
        <v>164</v>
      </c>
      <c r="C45" s="4" t="s">
        <v>165</v>
      </c>
      <c r="D45" s="4" t="s">
        <v>166</v>
      </c>
      <c r="E45" s="4" t="s">
        <v>167</v>
      </c>
      <c r="F45" s="4" t="s">
        <v>168</v>
      </c>
      <c r="G45" s="5"/>
      <c r="H45" s="5"/>
      <c r="I45" s="4" t="str">
        <f aca="false">IF(G45="Fail","Send me a screenshot + steps",IF(G45="Pass","Done","Test on your phone first"))</f>
        <v>Test on your phone first</v>
      </c>
    </row>
    <row r="46" customFormat="false" ht="26.85" hidden="false" customHeight="false" outlineLevel="0" collapsed="false">
      <c r="A46" s="4" t="n">
        <v>43</v>
      </c>
      <c r="B46" s="4" t="s">
        <v>164</v>
      </c>
      <c r="C46" s="4" t="s">
        <v>169</v>
      </c>
      <c r="D46" s="4" t="s">
        <v>170</v>
      </c>
      <c r="E46" s="4" t="s">
        <v>171</v>
      </c>
      <c r="F46" s="4" t="s">
        <v>172</v>
      </c>
      <c r="G46" s="5"/>
      <c r="H46" s="5"/>
      <c r="I46" s="4" t="str">
        <f aca="false">IF(G46="Fail","Send me a screenshot + steps",IF(G46="Pass","Done","Test on your phone first"))</f>
        <v>Test on your phone first</v>
      </c>
    </row>
    <row r="47" customFormat="false" ht="26.85" hidden="false" customHeight="false" outlineLevel="0" collapsed="false">
      <c r="A47" s="4" t="n">
        <v>44</v>
      </c>
      <c r="B47" s="4" t="s">
        <v>173</v>
      </c>
      <c r="C47" s="4" t="s">
        <v>174</v>
      </c>
      <c r="D47" s="4" t="s">
        <v>175</v>
      </c>
      <c r="E47" s="4" t="s">
        <v>176</v>
      </c>
      <c r="F47" s="4" t="s">
        <v>146</v>
      </c>
      <c r="G47" s="5"/>
      <c r="H47" s="5"/>
      <c r="I47" s="4" t="str">
        <f aca="false">IF(G47="Fail","Send me a screenshot + steps",IF(G47="Pass","Done","Quick re-check on phone"))</f>
        <v>Quick re-check on phone</v>
      </c>
    </row>
    <row r="48" customFormat="false" ht="39.55" hidden="false" customHeight="false" outlineLevel="0" collapsed="false">
      <c r="A48" s="4" t="n">
        <v>45</v>
      </c>
      <c r="B48" s="4" t="s">
        <v>177</v>
      </c>
      <c r="C48" s="4" t="s">
        <v>178</v>
      </c>
      <c r="D48" s="4" t="s">
        <v>179</v>
      </c>
      <c r="E48" s="4" t="s">
        <v>180</v>
      </c>
      <c r="F48" s="4" t="s">
        <v>181</v>
      </c>
      <c r="G48" s="5"/>
      <c r="H48" s="5"/>
      <c r="I48" s="4" t="str">
        <f aca="false">IF(G48="Fail","Send me a screenshot + steps",IF(G48="Pass","Done","Quick re-check on phone"))</f>
        <v>Quick re-check on phone</v>
      </c>
    </row>
    <row r="49" customFormat="false" ht="26.85" hidden="false" customHeight="false" outlineLevel="0" collapsed="false">
      <c r="A49" s="4" t="n">
        <v>46</v>
      </c>
      <c r="B49" s="4" t="s">
        <v>177</v>
      </c>
      <c r="C49" s="4" t="s">
        <v>182</v>
      </c>
      <c r="D49" s="4" t="s">
        <v>183</v>
      </c>
      <c r="E49" s="4" t="s">
        <v>184</v>
      </c>
      <c r="F49" s="4" t="s">
        <v>90</v>
      </c>
      <c r="G49" s="5"/>
      <c r="H49" s="5"/>
      <c r="I49" s="4" t="str">
        <f aca="false">IF(G49="Fail","Send me a screenshot + steps",IF(G49="Pass","Done","Quick re-check on phone"))</f>
        <v>Quick re-check on phone</v>
      </c>
    </row>
    <row r="50" customFormat="false" ht="26.85" hidden="false" customHeight="false" outlineLevel="0" collapsed="false">
      <c r="A50" s="4" t="n">
        <v>47</v>
      </c>
      <c r="B50" s="4" t="s">
        <v>177</v>
      </c>
      <c r="C50" s="4" t="s">
        <v>185</v>
      </c>
      <c r="D50" s="4" t="s">
        <v>186</v>
      </c>
      <c r="E50" s="4" t="s">
        <v>187</v>
      </c>
      <c r="F50" s="4" t="s">
        <v>90</v>
      </c>
      <c r="G50" s="5"/>
      <c r="H50" s="5"/>
      <c r="I50" s="4" t="str">
        <f aca="false">IF(G50="Fail","Send me a screenshot + steps",IF(G50="Pass","Done","Quick re-check on phone"))</f>
        <v>Quick re-check on phone</v>
      </c>
    </row>
    <row r="51" customFormat="false" ht="26.85" hidden="false" customHeight="false" outlineLevel="0" collapsed="false">
      <c r="A51" s="4" t="n">
        <v>48</v>
      </c>
      <c r="B51" s="4" t="s">
        <v>188</v>
      </c>
      <c r="C51" s="4" t="s">
        <v>189</v>
      </c>
      <c r="D51" s="4" t="s">
        <v>190</v>
      </c>
      <c r="E51" s="4" t="s">
        <v>191</v>
      </c>
      <c r="F51" s="4" t="s">
        <v>15</v>
      </c>
      <c r="G51" s="5"/>
      <c r="H51" s="5"/>
      <c r="I51" s="4" t="str">
        <f aca="false">IF(G51="Fail","Send me a screenshot + steps",IF(G51="Pass","Done","Quick re-check on phone"))</f>
        <v>Quick re-check on phone</v>
      </c>
    </row>
    <row r="52" customFormat="false" ht="26.85" hidden="false" customHeight="false" outlineLevel="0" collapsed="false">
      <c r="A52" s="4" t="n">
        <v>49</v>
      </c>
      <c r="B52" s="4" t="s">
        <v>188</v>
      </c>
      <c r="C52" s="4" t="s">
        <v>192</v>
      </c>
      <c r="D52" s="4" t="s">
        <v>193</v>
      </c>
      <c r="E52" s="4" t="s">
        <v>194</v>
      </c>
      <c r="F52" s="4" t="s">
        <v>90</v>
      </c>
      <c r="G52" s="5"/>
      <c r="H52" s="5"/>
      <c r="I52" s="4" t="str">
        <f aca="false">IF(G52="Fail","Send me a screenshot + steps",IF(G52="Pass","Done","Quick re-check on phone"))</f>
        <v>Quick re-check on phone</v>
      </c>
    </row>
    <row r="53" customFormat="false" ht="26.85" hidden="false" customHeight="false" outlineLevel="0" collapsed="false">
      <c r="A53" s="4" t="n">
        <v>50</v>
      </c>
      <c r="B53" s="4" t="s">
        <v>188</v>
      </c>
      <c r="C53" s="4" t="s">
        <v>195</v>
      </c>
      <c r="D53" s="4" t="s">
        <v>196</v>
      </c>
      <c r="E53" s="4" t="s">
        <v>197</v>
      </c>
      <c r="F53" s="4" t="s">
        <v>90</v>
      </c>
      <c r="G53" s="5"/>
      <c r="H53" s="5"/>
      <c r="I53" s="4" t="str">
        <f aca="false">IF(G53="Fail","Send me a screenshot + steps",IF(G53="Pass","Done","Quick re-check on phone"))</f>
        <v>Quick re-check on phone</v>
      </c>
    </row>
    <row r="54" customFormat="false" ht="26.85" hidden="false" customHeight="false" outlineLevel="0" collapsed="false">
      <c r="A54" s="4" t="n">
        <v>51</v>
      </c>
      <c r="B54" s="4" t="s">
        <v>188</v>
      </c>
      <c r="C54" s="4" t="s">
        <v>198</v>
      </c>
      <c r="D54" s="4" t="s">
        <v>199</v>
      </c>
      <c r="E54" s="4" t="s">
        <v>200</v>
      </c>
      <c r="F54" s="4" t="s">
        <v>201</v>
      </c>
      <c r="G54" s="5"/>
      <c r="H54" s="5"/>
      <c r="I54" s="4" t="str">
        <f aca="false">IF(G54="Fail","Send me a screenshot + steps",IF(G54="Pass","Done","Test on your phone first"))</f>
        <v>Test on your phone first</v>
      </c>
    </row>
    <row r="55" customFormat="false" ht="26.85" hidden="false" customHeight="false" outlineLevel="0" collapsed="false">
      <c r="A55" s="4" t="n">
        <v>52</v>
      </c>
      <c r="B55" s="4" t="s">
        <v>202</v>
      </c>
      <c r="C55" s="4" t="s">
        <v>203</v>
      </c>
      <c r="D55" s="4" t="s">
        <v>204</v>
      </c>
      <c r="E55" s="4" t="s">
        <v>205</v>
      </c>
      <c r="F55" s="4" t="s">
        <v>90</v>
      </c>
      <c r="G55" s="5"/>
      <c r="H55" s="5"/>
      <c r="I55" s="4" t="str">
        <f aca="false">IF(G55="Fail","Send me a screenshot + steps",IF(G55="Pass","Done","Quick re-check on phone"))</f>
        <v>Quick re-check on phone</v>
      </c>
    </row>
    <row r="56" customFormat="false" ht="26.85" hidden="false" customHeight="false" outlineLevel="0" collapsed="false">
      <c r="A56" s="4" t="n">
        <v>53</v>
      </c>
      <c r="B56" s="4" t="s">
        <v>202</v>
      </c>
      <c r="C56" s="4" t="s">
        <v>206</v>
      </c>
      <c r="D56" s="4" t="s">
        <v>207</v>
      </c>
      <c r="E56" s="4" t="s">
        <v>208</v>
      </c>
      <c r="F56" s="4" t="s">
        <v>94</v>
      </c>
      <c r="G56" s="5"/>
      <c r="H56" s="5"/>
      <c r="I56" s="4" t="str">
        <f aca="false">IF(G56="Fail","Send me a screenshot + steps",IF(G56="Pass","Done","Quick re-check on phone"))</f>
        <v>Quick re-check on phone</v>
      </c>
    </row>
    <row r="57" customFormat="false" ht="26.85" hidden="false" customHeight="false" outlineLevel="0" collapsed="false">
      <c r="A57" s="4" t="n">
        <v>54</v>
      </c>
      <c r="B57" s="4" t="s">
        <v>202</v>
      </c>
      <c r="C57" s="4" t="s">
        <v>209</v>
      </c>
      <c r="D57" s="4" t="s">
        <v>210</v>
      </c>
      <c r="E57" s="4" t="s">
        <v>211</v>
      </c>
      <c r="F57" s="4" t="s">
        <v>212</v>
      </c>
      <c r="G57" s="5"/>
      <c r="H57" s="5"/>
      <c r="I57" s="4" t="str">
        <f aca="false">IF(G57="Fail","Send me a screenshot + steps",IF(G57="Pass","Done","Test on your phone first"))</f>
        <v>Test on your phone first</v>
      </c>
    </row>
    <row r="58" customFormat="false" ht="26.85" hidden="false" customHeight="false" outlineLevel="0" collapsed="false">
      <c r="A58" s="4" t="n">
        <v>55</v>
      </c>
      <c r="B58" s="4" t="s">
        <v>202</v>
      </c>
      <c r="C58" s="4" t="s">
        <v>213</v>
      </c>
      <c r="D58" s="4" t="s">
        <v>214</v>
      </c>
      <c r="E58" s="4" t="s">
        <v>215</v>
      </c>
      <c r="F58" s="4" t="s">
        <v>216</v>
      </c>
      <c r="G58" s="5"/>
      <c r="H58" s="5"/>
      <c r="I58" s="4" t="str">
        <f aca="false">IF(G58="Fail","Send me a screenshot + steps",IF(G58="Pass","Done","Test on your phone first"))</f>
        <v>Test on your phone first</v>
      </c>
    </row>
    <row r="60" customFormat="false" ht="15" hidden="false" customHeight="false" outlineLevel="0" collapsed="false">
      <c r="B60" s="6" t="s">
        <v>217</v>
      </c>
    </row>
    <row r="61" customFormat="false" ht="15" hidden="false" customHeight="false" outlineLevel="0" collapsed="false">
      <c r="B61" s="7" t="n">
        <f aca="false">COUNTIF(G4:G58,"Pass")</f>
        <v>1</v>
      </c>
      <c r="C61" s="8" t="s">
        <v>16</v>
      </c>
    </row>
    <row r="62" customFormat="false" ht="15" hidden="false" customHeight="false" outlineLevel="0" collapsed="false">
      <c r="B62" s="7" t="n">
        <f aca="false">COUNTIF(G4:G58,"Fail")</f>
        <v>0</v>
      </c>
      <c r="C62" s="8" t="s">
        <v>218</v>
      </c>
    </row>
    <row r="63" customFormat="false" ht="15" hidden="false" customHeight="false" outlineLevel="0" collapsed="false">
      <c r="B63" s="7" t="n">
        <f aca="false">COUNTA(C4:C58)-B61-B62</f>
        <v>54</v>
      </c>
      <c r="C63" s="8" t="s">
        <v>219</v>
      </c>
    </row>
  </sheetData>
  <autoFilter ref="A3:I58"/>
  <conditionalFormatting sqref="G4:G58">
    <cfRule type="cellIs" priority="2" operator="equal" aboveAverage="0" equalAverage="0" bottom="0" percent="0" rank="0" text="" dxfId="5">
      <formula>"Fail"</formula>
    </cfRule>
    <cfRule type="cellIs" priority="3" operator="equal" aboveAverage="0" equalAverage="0" bottom="0" percent="0" rank="0" text="" dxfId="6">
      <formula>"Pass"</formula>
    </cfRule>
  </conditionalFormatting>
  <dataValidations count="1">
    <dataValidation allowBlank="true" errorStyle="stop" operator="between" showDropDown="false" showErrorMessage="false" showInputMessage="false" sqref="G4:G58" type="list">
      <formula1>"Pass,Fail,Not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2026-10-19T13:21:14Z</dcterms:created>
  <dc:creator>openpyxl</dc:creator>
  <dc:description/>
  <dc:language>en-US</dc:language>
  <cp:lastModifiedBy/>
  <dcterms:modified xsi:type="dcterms:W3CDTF">2026-10-19T13:21:14Z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